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mallenx/Downloads/2025_DUOC/CAPSTONE/fase 2/"/>
    </mc:Choice>
  </mc:AlternateContent>
  <xr:revisionPtr revIDLastSave="0" documentId="13_ncr:1_{B2CF1F3E-66A6-7E43-891F-4636EDBAF7B2}" xr6:coauthVersionLast="47" xr6:coauthVersionMax="47" xr10:uidLastSave="{00000000-0000-0000-0000-000000000000}"/>
  <bookViews>
    <workbookView xWindow="0" yWindow="620" windowWidth="33540" windowHeight="19320" firstSheet="1" activeTab="2" xr2:uid="{00000000-000D-0000-FFFF-FFFF00000000}"/>
  </bookViews>
  <sheets>
    <sheet name="RUBRICA" sheetId="12" r:id="rId1"/>
    <sheet name="EVALUACION FF2" sheetId="1" r:id="rId2"/>
    <sheet name="AVA" sheetId="13"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<sst xmlns="http://schemas.openxmlformats.org/spreadsheetml/2006/main" count="135" uniqueCount="76">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</sst>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157295</xdr:colOff>
      <xdr:row>34</xdr:row>
      <xdr:rowOff>113731</xdr:rowOff>
    </xdr:to>
    <xdr:pic>
      <xdr:nvPicPr>
        <xdr:cNvPr id="3" name="Imagen 2">
          <a:extLst>
            <a:ext uri="{FF2B5EF4-FFF2-40B4-BE49-F238E27FC236}">
              <a16:creationId xmlns:a16="http://schemas.microsoft.com/office/drawing/2014/main" id="{3D8D2A91-1D26-7A00-417F-B572A446B370}"/>
            </a:ext>
          </a:extLst>
        </xdr:cNvPr>
        <xdr:cNvPicPr>
          <a:picLocks noChangeAspect="1"/>
        </xdr:cNvPicPr>
      </xdr:nvPicPr>
      <xdr:blipFill>
        <a:blip xmlns:r="http://schemas.openxmlformats.org/officeDocument/2006/relationships" r:embed="rId1"/>
        <a:stretch>
          <a:fillRect/>
        </a:stretch>
      </xdr:blipFill>
      <xdr:spPr>
        <a:xfrm>
          <a:off x="0" y="0"/>
          <a:ext cx="12525579" cy="6558507"/>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5" defaultRowHeight="15" x14ac:dyDescent="0.2"/>
  <cols>
    <col min="1" max="6" width="38.6640625" customWidth="1"/>
  </cols>
  <sheetData>
    <row r="1" spans="1:6" x14ac:dyDescent="0.2">
      <c r="A1" s="51" t="s">
        <v>0</v>
      </c>
      <c r="B1" s="51" t="s">
        <v>1</v>
      </c>
      <c r="C1" s="51"/>
      <c r="D1" s="51"/>
      <c r="E1" s="51"/>
      <c r="F1" s="51" t="s">
        <v>2</v>
      </c>
    </row>
    <row r="2" spans="1:6" ht="16" x14ac:dyDescent="0.2">
      <c r="A2" s="51"/>
      <c r="B2" s="52" t="s">
        <v>3</v>
      </c>
      <c r="C2" s="52" t="s">
        <v>4</v>
      </c>
      <c r="D2" s="35" t="s">
        <v>5</v>
      </c>
      <c r="E2" s="34" t="s">
        <v>6</v>
      </c>
      <c r="F2" s="51"/>
    </row>
    <row r="3" spans="1:6" x14ac:dyDescent="0.2">
      <c r="A3" s="51"/>
      <c r="B3" s="52"/>
      <c r="C3" s="52"/>
      <c r="D3" s="36">
        <v>-0.3</v>
      </c>
      <c r="E3" s="36">
        <v>0</v>
      </c>
      <c r="F3" s="51"/>
    </row>
    <row r="4" spans="1:6" ht="45" x14ac:dyDescent="0.2">
      <c r="A4" s="37" t="s">
        <v>7</v>
      </c>
      <c r="B4" s="37" t="s">
        <v>8</v>
      </c>
      <c r="C4" s="37" t="s">
        <v>9</v>
      </c>
      <c r="D4" s="37" t="s">
        <v>10</v>
      </c>
      <c r="E4" s="37" t="s">
        <v>11</v>
      </c>
      <c r="F4" s="38">
        <v>10</v>
      </c>
    </row>
    <row r="5" spans="1:6" ht="75" x14ac:dyDescent="0.2">
      <c r="A5" s="41" t="s">
        <v>12</v>
      </c>
      <c r="B5" s="37" t="s">
        <v>13</v>
      </c>
      <c r="C5" s="37" t="s">
        <v>14</v>
      </c>
      <c r="D5" s="37" t="s">
        <v>15</v>
      </c>
      <c r="E5" s="37" t="s">
        <v>16</v>
      </c>
      <c r="F5" s="38">
        <v>20</v>
      </c>
    </row>
    <row r="6" spans="1:6" ht="31" thickBot="1" x14ac:dyDescent="0.25">
      <c r="A6" s="41" t="s">
        <v>17</v>
      </c>
      <c r="B6" s="37" t="s">
        <v>18</v>
      </c>
      <c r="C6" s="37" t="s">
        <v>19</v>
      </c>
      <c r="D6" s="37" t="s">
        <v>20</v>
      </c>
      <c r="E6" s="37" t="s">
        <v>21</v>
      </c>
      <c r="F6" s="38">
        <v>5</v>
      </c>
    </row>
    <row r="7" spans="1:6" ht="60" x14ac:dyDescent="0.2">
      <c r="A7" s="42" t="s">
        <v>22</v>
      </c>
      <c r="B7" s="43" t="s">
        <v>23</v>
      </c>
      <c r="C7" s="43" t="s">
        <v>24</v>
      </c>
      <c r="D7" s="43" t="s">
        <v>25</v>
      </c>
      <c r="E7" s="44" t="s">
        <v>26</v>
      </c>
      <c r="F7" s="38">
        <v>5</v>
      </c>
    </row>
    <row r="8" spans="1:6" ht="45" x14ac:dyDescent="0.2">
      <c r="A8" s="41" t="s">
        <v>27</v>
      </c>
      <c r="B8" s="37" t="s">
        <v>28</v>
      </c>
      <c r="C8" s="37" t="s">
        <v>29</v>
      </c>
      <c r="D8" s="37" t="s">
        <v>30</v>
      </c>
      <c r="E8" s="37" t="s">
        <v>31</v>
      </c>
      <c r="F8" s="38">
        <v>5</v>
      </c>
    </row>
    <row r="9" spans="1:6" ht="45" x14ac:dyDescent="0.2">
      <c r="A9" s="41" t="s">
        <v>32</v>
      </c>
      <c r="B9" s="37" t="s">
        <v>33</v>
      </c>
      <c r="C9" s="37" t="s">
        <v>34</v>
      </c>
      <c r="D9" s="37" t="s">
        <v>35</v>
      </c>
      <c r="E9" s="37" t="s">
        <v>36</v>
      </c>
      <c r="F9" s="38">
        <v>5</v>
      </c>
    </row>
    <row r="10" spans="1:6" ht="60" x14ac:dyDescent="0.2">
      <c r="A10" s="41" t="s">
        <v>37</v>
      </c>
      <c r="B10" s="37" t="s">
        <v>38</v>
      </c>
      <c r="C10" s="37" t="s">
        <v>39</v>
      </c>
      <c r="D10" s="37" t="s">
        <v>40</v>
      </c>
      <c r="E10" s="37" t="s">
        <v>41</v>
      </c>
      <c r="F10" s="38">
        <v>15</v>
      </c>
    </row>
    <row r="11" spans="1:6" ht="61" thickBot="1" x14ac:dyDescent="0.25">
      <c r="A11" s="45" t="s">
        <v>42</v>
      </c>
      <c r="B11" s="26" t="s">
        <v>43</v>
      </c>
      <c r="C11" s="26" t="s">
        <v>44</v>
      </c>
      <c r="D11" s="26" t="s">
        <v>45</v>
      </c>
      <c r="E11" s="46" t="s">
        <v>46</v>
      </c>
      <c r="F11" s="38">
        <v>10</v>
      </c>
    </row>
    <row r="12" spans="1:6" ht="61" thickBot="1" x14ac:dyDescent="0.25">
      <c r="A12" s="47" t="s">
        <v>47</v>
      </c>
      <c r="B12" s="48" t="s">
        <v>48</v>
      </c>
      <c r="C12" s="48" t="s">
        <v>49</v>
      </c>
      <c r="D12" s="48" t="s">
        <v>50</v>
      </c>
      <c r="E12" s="48" t="s">
        <v>51</v>
      </c>
      <c r="F12" s="49">
        <v>15</v>
      </c>
    </row>
    <row r="13" spans="1:6" ht="91" thickBot="1" x14ac:dyDescent="0.2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opLeftCell="A35" zoomScale="120" zoomScaleNormal="120" workbookViewId="0">
      <selection activeCell="B71" sqref="B71"/>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8">
        <v>1</v>
      </c>
    </row>
    <row r="3" spans="1:11" ht="16" x14ac:dyDescent="0.2">
      <c r="B3" s="3" t="s">
        <v>57</v>
      </c>
      <c r="C3" s="39" t="s">
        <v>58</v>
      </c>
      <c r="D3" s="40" t="s">
        <v>59</v>
      </c>
      <c r="E3" s="54"/>
    </row>
    <row r="4" spans="1:11" x14ac:dyDescent="0.2">
      <c r="A4" s="4">
        <v>1</v>
      </c>
      <c r="B4" s="27"/>
      <c r="C4" s="5">
        <f>'EVALUACION FF2'!$C$21</f>
        <v>7</v>
      </c>
      <c r="D4" s="5">
        <f>$C$32</f>
        <v>7</v>
      </c>
      <c r="E4" s="6">
        <f>C4*C$2+D4*D$2</f>
        <v>7</v>
      </c>
      <c r="G4" s="1"/>
    </row>
    <row r="5" spans="1:11" x14ac:dyDescent="0.2">
      <c r="A5" s="4">
        <v>2</v>
      </c>
      <c r="B5" s="27"/>
      <c r="C5" s="5">
        <f>'EVALUACION FF2'!$C$21</f>
        <v>7</v>
      </c>
      <c r="D5" s="5">
        <f>C44</f>
        <v>7</v>
      </c>
      <c r="E5" s="6">
        <f t="shared" ref="E5:E6" si="0">C5*C$2+D5*D$2</f>
        <v>7</v>
      </c>
      <c r="G5" s="1"/>
    </row>
    <row r="6" spans="1:11" x14ac:dyDescent="0.2">
      <c r="A6" s="4">
        <v>3</v>
      </c>
      <c r="B6" s="27"/>
      <c r="C6" s="5">
        <f>'EVALUACION FF2'!$C$21</f>
        <v>7</v>
      </c>
      <c r="D6" s="5">
        <f>C55</f>
        <v>7</v>
      </c>
      <c r="E6" s="6">
        <f t="shared" si="0"/>
        <v>7</v>
      </c>
      <c r="G6" s="1"/>
    </row>
    <row r="11" spans="1:11" ht="19" outlineLevel="1" x14ac:dyDescent="0.2">
      <c r="A11" s="69" t="s">
        <v>58</v>
      </c>
      <c r="B11" s="14"/>
      <c r="C11" s="61" t="s">
        <v>60</v>
      </c>
      <c r="D11" s="62" t="s">
        <v>61</v>
      </c>
      <c r="E11" s="63"/>
      <c r="F11" s="63"/>
      <c r="G11" s="63"/>
      <c r="H11" s="63"/>
      <c r="I11" s="63"/>
      <c r="J11" s="63"/>
      <c r="K11" s="64"/>
    </row>
    <row r="12" spans="1:11" outlineLevel="1" x14ac:dyDescent="0.2">
      <c r="A12" s="67"/>
      <c r="B12" s="24" t="s">
        <v>62</v>
      </c>
      <c r="C12" s="54"/>
      <c r="D12" s="62" t="s">
        <v>63</v>
      </c>
      <c r="E12" s="64"/>
      <c r="F12" s="62" t="s">
        <v>64</v>
      </c>
      <c r="G12" s="64"/>
      <c r="H12" s="65" t="s">
        <v>65</v>
      </c>
      <c r="I12" s="64"/>
      <c r="J12" s="62" t="s">
        <v>6</v>
      </c>
      <c r="K12" s="64"/>
    </row>
    <row r="13" spans="1:11" ht="26" outlineLevel="1" x14ac:dyDescent="0.2">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9" outlineLevel="1" x14ac:dyDescent="0.2">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outlineLevel="1" x14ac:dyDescent="0.2">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6" outlineLevel="1" x14ac:dyDescent="0.2">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6" outlineLevel="1" x14ac:dyDescent="0.2">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3" customHeight="1" outlineLevel="1" x14ac:dyDescent="0.2">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25">
      <c r="A20" s="67"/>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25">
      <c r="A21" s="54"/>
      <c r="B21" s="32" t="s">
        <v>67</v>
      </c>
      <c r="C21" s="20">
        <f>VLOOKUP(C20,ESCALA_IEP!A1:B152,2,FALSE)</f>
        <v>7</v>
      </c>
    </row>
    <row r="22" spans="1:11" ht="15.75" customHeight="1" x14ac:dyDescent="0.2"/>
    <row r="23" spans="1:11" ht="15.75" customHeight="1" x14ac:dyDescent="0.2"/>
    <row r="24" spans="1:11" ht="15.75" customHeight="1" x14ac:dyDescent="0.2">
      <c r="A24" s="66" t="s">
        <v>59</v>
      </c>
      <c r="B24" s="53" t="s">
        <v>68</v>
      </c>
      <c r="C24" s="55">
        <f>$B$4</f>
        <v>0</v>
      </c>
      <c r="D24" s="56"/>
      <c r="E24" s="56"/>
      <c r="F24" s="56"/>
      <c r="G24" s="56"/>
      <c r="H24" s="56"/>
      <c r="I24" s="56"/>
      <c r="J24" s="56"/>
      <c r="K24" s="57"/>
    </row>
    <row r="25" spans="1:11" ht="15.75" customHeight="1" x14ac:dyDescent="0.2">
      <c r="A25" s="67"/>
      <c r="B25" s="54"/>
      <c r="C25" s="58"/>
      <c r="D25" s="59"/>
      <c r="E25" s="59"/>
      <c r="F25" s="59"/>
      <c r="G25" s="59"/>
      <c r="H25" s="59"/>
      <c r="I25" s="59"/>
      <c r="J25" s="59"/>
      <c r="K25" s="60"/>
    </row>
    <row r="26" spans="1:11" ht="15.75" customHeight="1" x14ac:dyDescent="0.2">
      <c r="A26" s="67"/>
      <c r="B26" s="14" t="s">
        <v>69</v>
      </c>
      <c r="C26" s="61" t="s">
        <v>60</v>
      </c>
      <c r="D26" s="62" t="s">
        <v>61</v>
      </c>
      <c r="E26" s="63"/>
      <c r="F26" s="63"/>
      <c r="G26" s="63"/>
      <c r="H26" s="63"/>
      <c r="I26" s="63"/>
      <c r="J26" s="63"/>
      <c r="K26" s="64"/>
    </row>
    <row r="27" spans="1:11" ht="15.75" customHeight="1" x14ac:dyDescent="0.2">
      <c r="A27" s="67"/>
      <c r="B27" s="15" t="s">
        <v>62</v>
      </c>
      <c r="C27" s="54"/>
      <c r="D27" s="62" t="s">
        <v>63</v>
      </c>
      <c r="E27" s="64"/>
      <c r="F27" s="62" t="s">
        <v>64</v>
      </c>
      <c r="G27" s="64"/>
      <c r="H27" s="65" t="s">
        <v>65</v>
      </c>
      <c r="I27" s="64"/>
      <c r="J27" s="62" t="s">
        <v>6</v>
      </c>
      <c r="K27" s="64"/>
    </row>
    <row r="28" spans="1:11" x14ac:dyDescent="0.2">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5" customHeight="1" x14ac:dyDescent="0.2">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6" customHeight="1" x14ac:dyDescent="0.2">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25">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25">
      <c r="A32" s="54"/>
      <c r="B32" s="17" t="s">
        <v>67</v>
      </c>
      <c r="C32" s="20">
        <f>VLOOKUP(C31,ESCALA_TRAB_EQUIP!A1:B52,2,FALSE)</f>
        <v>7</v>
      </c>
    </row>
    <row r="33" spans="1:11" ht="15.75" customHeight="1" x14ac:dyDescent="0.25">
      <c r="B33" s="22"/>
      <c r="C33" s="23"/>
    </row>
    <row r="34" spans="1:11" ht="15.75" customHeight="1" x14ac:dyDescent="0.25">
      <c r="B34" s="22"/>
      <c r="C34" s="23"/>
    </row>
    <row r="35" spans="1:11" ht="15.75" customHeight="1" x14ac:dyDescent="0.2"/>
    <row r="36" spans="1:11" ht="15.75" customHeight="1" x14ac:dyDescent="0.2">
      <c r="A36" s="66" t="s">
        <v>59</v>
      </c>
      <c r="B36" s="53" t="s">
        <v>68</v>
      </c>
      <c r="C36" s="55">
        <f>B5</f>
        <v>0</v>
      </c>
      <c r="D36" s="56"/>
      <c r="E36" s="56"/>
      <c r="F36" s="56"/>
      <c r="G36" s="56"/>
      <c r="H36" s="56"/>
      <c r="I36" s="56"/>
      <c r="J36" s="56"/>
      <c r="K36" s="57"/>
    </row>
    <row r="37" spans="1:11" ht="15.75" customHeight="1" x14ac:dyDescent="0.2">
      <c r="A37" s="67"/>
      <c r="B37" s="54"/>
      <c r="C37" s="58"/>
      <c r="D37" s="59"/>
      <c r="E37" s="59"/>
      <c r="F37" s="59"/>
      <c r="G37" s="59"/>
      <c r="H37" s="59"/>
      <c r="I37" s="59"/>
      <c r="J37" s="59"/>
      <c r="K37" s="60"/>
    </row>
    <row r="38" spans="1:11" ht="15.75" customHeight="1" x14ac:dyDescent="0.2">
      <c r="A38" s="67"/>
      <c r="B38" s="14" t="s">
        <v>69</v>
      </c>
      <c r="C38" s="61" t="s">
        <v>60</v>
      </c>
      <c r="D38" s="62" t="s">
        <v>61</v>
      </c>
      <c r="E38" s="63"/>
      <c r="F38" s="63"/>
      <c r="G38" s="63"/>
      <c r="H38" s="63"/>
      <c r="I38" s="63"/>
      <c r="J38" s="63"/>
      <c r="K38" s="64"/>
    </row>
    <row r="39" spans="1:11" ht="15.75" customHeight="1" x14ac:dyDescent="0.2">
      <c r="A39" s="67"/>
      <c r="B39" s="15" t="s">
        <v>62</v>
      </c>
      <c r="C39" s="54"/>
      <c r="D39" s="62" t="s">
        <v>63</v>
      </c>
      <c r="E39" s="64"/>
      <c r="F39" s="62" t="s">
        <v>64</v>
      </c>
      <c r="G39" s="64"/>
      <c r="H39" s="65" t="s">
        <v>65</v>
      </c>
      <c r="I39" s="64"/>
      <c r="J39" s="62" t="s">
        <v>6</v>
      </c>
      <c r="K39" s="64"/>
    </row>
    <row r="40" spans="1:11" ht="15.75" customHeight="1" x14ac:dyDescent="0.2">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6" customHeight="1" x14ac:dyDescent="0.2">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25">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25">
      <c r="A44" s="54"/>
      <c r="B44" s="17" t="s">
        <v>67</v>
      </c>
      <c r="C44" s="20">
        <f>VLOOKUP(C43,ESCALA_TRAB_EQUIP!A1:B52,2,FALSE)</f>
        <v>7</v>
      </c>
    </row>
    <row r="45" spans="1:11" ht="15.75" customHeight="1" x14ac:dyDescent="0.25">
      <c r="B45" s="22"/>
      <c r="C45" s="23"/>
    </row>
    <row r="46" spans="1:11" ht="15.75" customHeight="1" x14ac:dyDescent="0.25">
      <c r="B46" s="22"/>
      <c r="C46" s="23"/>
    </row>
    <row r="47" spans="1:11" ht="15.75" customHeight="1" x14ac:dyDescent="0.2">
      <c r="A47" s="66" t="s">
        <v>59</v>
      </c>
      <c r="B47" s="53" t="s">
        <v>68</v>
      </c>
      <c r="C47" s="55">
        <f>B6</f>
        <v>0</v>
      </c>
      <c r="D47" s="56"/>
      <c r="E47" s="56"/>
      <c r="F47" s="56"/>
      <c r="G47" s="56"/>
      <c r="H47" s="56"/>
      <c r="I47" s="56"/>
      <c r="J47" s="56"/>
      <c r="K47" s="57"/>
    </row>
    <row r="48" spans="1:11" ht="15.75" customHeight="1" x14ac:dyDescent="0.2">
      <c r="A48" s="67"/>
      <c r="B48" s="54"/>
      <c r="C48" s="58"/>
      <c r="D48" s="59"/>
      <c r="E48" s="59"/>
      <c r="F48" s="59"/>
      <c r="G48" s="59"/>
      <c r="H48" s="59"/>
      <c r="I48" s="59"/>
      <c r="J48" s="59"/>
      <c r="K48" s="60"/>
    </row>
    <row r="49" spans="1:11" ht="15.75" customHeight="1" x14ac:dyDescent="0.2">
      <c r="A49" s="67"/>
      <c r="B49" s="14" t="s">
        <v>69</v>
      </c>
      <c r="C49" s="61" t="s">
        <v>60</v>
      </c>
      <c r="D49" s="62" t="s">
        <v>61</v>
      </c>
      <c r="E49" s="63"/>
      <c r="F49" s="63"/>
      <c r="G49" s="63"/>
      <c r="H49" s="63"/>
      <c r="I49" s="63"/>
      <c r="J49" s="63"/>
      <c r="K49" s="64"/>
    </row>
    <row r="50" spans="1:11" ht="15.75" customHeight="1" x14ac:dyDescent="0.2">
      <c r="A50" s="67"/>
      <c r="B50" s="15" t="s">
        <v>62</v>
      </c>
      <c r="C50" s="54"/>
      <c r="D50" s="62" t="s">
        <v>63</v>
      </c>
      <c r="E50" s="64"/>
      <c r="F50" s="62" t="s">
        <v>64</v>
      </c>
      <c r="G50" s="64"/>
      <c r="H50" s="65" t="s">
        <v>65</v>
      </c>
      <c r="I50" s="64"/>
      <c r="J50" s="62" t="s">
        <v>6</v>
      </c>
      <c r="K50" s="64"/>
    </row>
    <row r="51" spans="1:11" ht="15.75" customHeight="1" x14ac:dyDescent="0.2">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6" customHeight="1" x14ac:dyDescent="0.2">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25">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25">
      <c r="A55" s="54"/>
      <c r="B55" s="17" t="s">
        <v>67</v>
      </c>
      <c r="C55" s="20">
        <f>VLOOKUP(C54,ESCALA_TRAB_EQUIP!A1:B52,2,FALSE)</f>
        <v>7</v>
      </c>
    </row>
    <row r="56" spans="1:11" ht="15.75" customHeight="1" x14ac:dyDescent="0.25">
      <c r="B56" s="22"/>
      <c r="C56" s="23"/>
    </row>
    <row r="57" spans="1:11" ht="15.75" customHeight="1" x14ac:dyDescent="0.2"/>
    <row r="58" spans="1:11" ht="15.75" customHeight="1" x14ac:dyDescent="0.2"/>
    <row r="59" spans="1:11" ht="15.75" customHeight="1" x14ac:dyDescent="0.2"/>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9161-95CF-644D-8993-9E8DB4E388D6}">
  <dimension ref="A1"/>
  <sheetViews>
    <sheetView tabSelected="1" zoomScale="134" zoomScaleNormal="134" workbookViewId="0">
      <selection activeCell="L12" sqref="L12"/>
    </sheetView>
  </sheetViews>
  <sheetFormatPr baseColWidth="10"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71</v>
      </c>
      <c r="B1" t="s">
        <v>72</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1" t="s">
        <v>73</v>
      </c>
      <c r="B1" s="7" t="s">
        <v>66</v>
      </c>
      <c r="C1" s="8"/>
      <c r="D1" s="8"/>
      <c r="E1" s="9"/>
    </row>
    <row r="2" spans="1:5" ht="49" thickBot="1" x14ac:dyDescent="0.25">
      <c r="A2" s="72"/>
      <c r="B2" s="10" t="s">
        <v>63</v>
      </c>
      <c r="C2" s="11" t="s">
        <v>64</v>
      </c>
      <c r="D2" s="31" t="s">
        <v>74</v>
      </c>
      <c r="E2" s="50" t="s">
        <v>6</v>
      </c>
    </row>
    <row r="3" spans="1:5" ht="33" thickBot="1" x14ac:dyDescent="0.25">
      <c r="A3" s="12" t="s">
        <v>75</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RUBRICA</vt:lpstr>
      <vt:lpstr>EVALUACION FF2</vt:lpstr>
      <vt:lpstr>AVA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Mallén González G</cp:lastModifiedBy>
  <cp:revision/>
  <dcterms:created xsi:type="dcterms:W3CDTF">2023-08-07T04:08:01Z</dcterms:created>
  <dcterms:modified xsi:type="dcterms:W3CDTF">2025-12-01T18:13:34Z</dcterms:modified>
  <cp:category/>
  <cp:contentStatus/>
</cp:coreProperties>
</file>